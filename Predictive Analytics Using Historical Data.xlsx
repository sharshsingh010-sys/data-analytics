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Downloads\"/>
    </mc:Choice>
  </mc:AlternateContent>
  <xr:revisionPtr revIDLastSave="0" documentId="8_{5975F603-1959-4FF1-AB63-5BA4081FE90C}" xr6:coauthVersionLast="47" xr6:coauthVersionMax="47" xr10:uidLastSave="{00000000-0000-0000-0000-000000000000}"/>
  <bookViews>
    <workbookView xWindow="-110" yWindow="-110" windowWidth="19420" windowHeight="10300" xr2:uid="{6CCF6946-8C46-4972-BEDC-5C78674F472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14" i="2"/>
  <c r="C15" i="2"/>
  <c r="E9" i="2" l="1"/>
  <c r="E10" i="2"/>
  <c r="E12" i="2"/>
  <c r="E13" i="2"/>
  <c r="E15" i="2"/>
  <c r="D9" i="2"/>
  <c r="D14" i="2"/>
  <c r="D12" i="2"/>
  <c r="D11" i="2"/>
  <c r="E11" i="2"/>
  <c r="E14" i="2"/>
  <c r="D10" i="2"/>
  <c r="D15" i="2"/>
  <c r="D13" i="2"/>
</calcChain>
</file>

<file path=xl/sharedStrings.xml><?xml version="1.0" encoding="utf-8"?>
<sst xmlns="http://schemas.openxmlformats.org/spreadsheetml/2006/main" count="9" uniqueCount="7">
  <si>
    <t>Date</t>
  </si>
  <si>
    <t>Sales ($)</t>
  </si>
  <si>
    <t>Marketing Spend ($)</t>
  </si>
  <si>
    <t>Customers</t>
  </si>
  <si>
    <t>Forecast(Customers)</t>
  </si>
  <si>
    <t>Lower Confidence Bound(Customers)</t>
  </si>
  <si>
    <t>Upper Confidence Bound(Customers)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</si>
</sst>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"Actual vs Predicted Customers Trend"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65426843300847"/>
          <c:y val="3.6750202844757641E-2"/>
          <c:w val="0.75434573156699158"/>
          <c:h val="0.76810361444702957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Sheet2!$B$2:$B$26</c:f>
              <c:numCache>
                <c:formatCode>General</c:formatCode>
                <c:ptCount val="25"/>
                <c:pt idx="0">
                  <c:v>45</c:v>
                </c:pt>
                <c:pt idx="1">
                  <c:v>50</c:v>
                </c:pt>
                <c:pt idx="2">
                  <c:v>48</c:v>
                </c:pt>
                <c:pt idx="3">
                  <c:v>55</c:v>
                </c:pt>
                <c:pt idx="4">
                  <c:v>58</c:v>
                </c:pt>
                <c:pt idx="5">
                  <c:v>65</c:v>
                </c:pt>
                <c:pt idx="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8-4875-8F82-A661F547DA0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Forecast(Customers)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Sheet2!$A$2:$A$26</c:f>
              <c:numCache>
                <c:formatCode>m/d/yyyy</c:formatCode>
                <c:ptCount val="25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</c:numCache>
            </c:numRef>
          </c:cat>
          <c:val>
            <c:numRef>
              <c:f>Sheet2!$C$2:$C$26</c:f>
              <c:numCache>
                <c:formatCode>General</c:formatCode>
                <c:ptCount val="25"/>
                <c:pt idx="6">
                  <c:v>68</c:v>
                </c:pt>
                <c:pt idx="7">
                  <c:v>75.00777364816193</c:v>
                </c:pt>
                <c:pt idx="8">
                  <c:v>75.781859215966094</c:v>
                </c:pt>
                <c:pt idx="9">
                  <c:v>82.792105793971018</c:v>
                </c:pt>
                <c:pt idx="10">
                  <c:v>83.566191361775182</c:v>
                </c:pt>
                <c:pt idx="11">
                  <c:v>90.576437939780106</c:v>
                </c:pt>
                <c:pt idx="12">
                  <c:v>91.350523507584271</c:v>
                </c:pt>
                <c:pt idx="13">
                  <c:v>98.360770085589195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8-4875-8F82-A661F547DA0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Bound(Customers)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Sheet2!$A$2:$A$26</c:f>
              <c:numCache>
                <c:formatCode>m/d/yyyy</c:formatCode>
                <c:ptCount val="25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</c:numCache>
            </c:numRef>
          </c:cat>
          <c:val>
            <c:numRef>
              <c:f>Sheet2!$D$2:$D$26</c:f>
              <c:numCache>
                <c:formatCode>General</c:formatCode>
                <c:ptCount val="25"/>
                <c:pt idx="6" formatCode="0.00">
                  <c:v>68</c:v>
                </c:pt>
                <c:pt idx="7" formatCode="0.00">
                  <c:v>67.359203698043217</c:v>
                </c:pt>
                <c:pt idx="8" formatCode="0.00">
                  <c:v>65.486642562058606</c:v>
                </c:pt>
                <c:pt idx="9" formatCode="0.00">
                  <c:v>69.962095350563771</c:v>
                </c:pt>
                <c:pt idx="10" formatCode="0.00">
                  <c:v>68.995292216829895</c:v>
                </c:pt>
                <c:pt idx="11" formatCode="0.00">
                  <c:v>74.109402553490384</c:v>
                </c:pt>
                <c:pt idx="12" formatCode="0.00">
                  <c:v>73.487804605420536</c:v>
                </c:pt>
                <c:pt idx="13" formatCode="0.00">
                  <c:v>78.914335512692503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8-4875-8F82-A661F547DA07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Bound(Customers)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Sheet2!$A$2:$A$26</c:f>
              <c:numCache>
                <c:formatCode>m/d/yyyy</c:formatCode>
                <c:ptCount val="25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</c:numCache>
            </c:numRef>
          </c:cat>
          <c:val>
            <c:numRef>
              <c:f>Sheet2!$E$2:$E$26</c:f>
              <c:numCache>
                <c:formatCode>General</c:formatCode>
                <c:ptCount val="25"/>
                <c:pt idx="6" formatCode="0.00">
                  <c:v>68</c:v>
                </c:pt>
                <c:pt idx="7" formatCode="0.00">
                  <c:v>82.656343598280642</c:v>
                </c:pt>
                <c:pt idx="8" formatCode="0.00">
                  <c:v>86.077075869873582</c:v>
                </c:pt>
                <c:pt idx="9" formatCode="0.00">
                  <c:v>95.622116237378265</c:v>
                </c:pt>
                <c:pt idx="10" formatCode="0.00">
                  <c:v>98.137090506720469</c:v>
                </c:pt>
                <c:pt idx="11" formatCode="0.00">
                  <c:v>107.04347332606983</c:v>
                </c:pt>
                <c:pt idx="12" formatCode="0.00">
                  <c:v>109.21324240974801</c:v>
                </c:pt>
                <c:pt idx="13" formatCode="0.00">
                  <c:v>117.80720465848589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08-4875-8F82-A661F547DA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550758048"/>
        <c:axId val="1550758528"/>
      </c:lineChart>
      <c:catAx>
        <c:axId val="15507580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58528"/>
        <c:crosses val="autoZero"/>
        <c:auto val="1"/>
        <c:lblAlgn val="ctr"/>
        <c:lblOffset val="100"/>
        <c:noMultiLvlLbl val="0"/>
      </c:catAx>
      <c:valAx>
        <c:axId val="15507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58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45357</xdr:colOff>
      <xdr:row>0</xdr:row>
      <xdr:rowOff>45357</xdr:rowOff>
    </xdr:from>
    <xdr:to>
      <xdr:col>28</xdr:col>
      <xdr:colOff>105832</xdr:colOff>
      <xdr:row>37</xdr:row>
      <xdr:rowOff>30726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DBC51-B4FE-5EB7-395E-6306EAE4B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344DE-0BEC-403F-8787-709567C9A0DE}" name="Table1" displayName="Table1" ref="A1:E15" totalsRowShown="0">
  <autoFilter ref="A1:E15" xr:uid="{5FE344DE-0BEC-403F-8787-709567C9A0DE}"/>
  <tableColumns count="5">
    <tableColumn id="1" xr3:uid="{A65566FA-4C53-42FA-9AD8-C1B916730391}" name="Date" dataDxfId="2"/>
    <tableColumn id="2" xr3:uid="{1C78AA8A-EC59-4FDF-BEB0-34DEDDBFC752}" name="Customers"/>
    <tableColumn id="3" xr3:uid="{BAAF6718-5A6E-48BE-8A8A-8AE41823619B}" name="Forecast(Customers)">
      <calculatedColumnFormula>_xlfn.FORECAST.ETS(A2,$B$2:$B$8,$A$2:$A$8,2,1)</calculatedColumnFormula>
    </tableColumn>
    <tableColumn id="4" xr3:uid="{CEE288A6-6C10-4545-B81E-4A3127A9AD5E}" name="Lower Confidence Bound(Customers)" dataDxfId="1">
      <calculatedColumnFormula>C2-_xlfn.FORECAST.ETS.CONFINT(A2,$B$2:$B$8,$A$2:$A$8,0.9999,2,1)</calculatedColumnFormula>
    </tableColumn>
    <tableColumn id="5" xr3:uid="{76F44BEA-7A72-494E-AD10-FC9E9272575E}" name="Upper Confidence Bound(Customers)" dataDxfId="0">
      <calculatedColumnFormula>C2+_xlfn.FORECAST.ETS.CONFINT(A2,$B$2:$B$8,$A$2:$A$8,0.9999,2,1)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FD63-DCE6-4B4C-A7CA-9493E9D3DD53}">
  <dimension ref="A1:E15"/>
  <sheetViews>
    <sheetView tabSelected="1" zoomScale="42" zoomScaleNormal="88" workbookViewId="0">
      <selection activeCell="E26" sqref="E26"/>
    </sheetView>
  </sheetViews>
  <sheetFormatPr defaultRowHeight="14.5" x14ac:dyDescent="0.35"/>
  <cols>
    <col min="1" max="1" width="10.08984375" bestFit="1" customWidth="1"/>
    <col min="2" max="2" width="11.81640625" customWidth="1"/>
    <col min="3" max="3" width="20.1796875" customWidth="1"/>
    <col min="4" max="4" width="33.90625" customWidth="1"/>
    <col min="5" max="5" width="34" customWidth="1"/>
  </cols>
  <sheetData>
    <row r="1" spans="1:5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s="2">
        <v>46174</v>
      </c>
      <c r="B2">
        <v>45</v>
      </c>
    </row>
    <row r="3" spans="1:5" x14ac:dyDescent="0.35">
      <c r="A3" s="2">
        <v>46175</v>
      </c>
      <c r="B3">
        <v>50</v>
      </c>
    </row>
    <row r="4" spans="1:5" x14ac:dyDescent="0.35">
      <c r="A4" s="2">
        <v>46176</v>
      </c>
      <c r="B4">
        <v>48</v>
      </c>
    </row>
    <row r="5" spans="1:5" x14ac:dyDescent="0.35">
      <c r="A5" s="2">
        <v>46177</v>
      </c>
      <c r="B5">
        <v>55</v>
      </c>
    </row>
    <row r="6" spans="1:5" x14ac:dyDescent="0.35">
      <c r="A6" s="2">
        <v>46178</v>
      </c>
      <c r="B6">
        <v>58</v>
      </c>
    </row>
    <row r="7" spans="1:5" x14ac:dyDescent="0.35">
      <c r="A7" s="2">
        <v>46179</v>
      </c>
      <c r="B7">
        <v>65</v>
      </c>
    </row>
    <row r="8" spans="1:5" x14ac:dyDescent="0.35">
      <c r="A8" s="2">
        <v>46180</v>
      </c>
      <c r="B8">
        <v>68</v>
      </c>
      <c r="C8">
        <v>68</v>
      </c>
      <c r="D8" s="5">
        <v>68</v>
      </c>
      <c r="E8" s="5">
        <v>68</v>
      </c>
    </row>
    <row r="9" spans="1:5" x14ac:dyDescent="0.35">
      <c r="A9" s="2">
        <v>46181</v>
      </c>
      <c r="C9">
        <f>_xlfn.FORECAST.ETS(A9,$B$2:$B$8,$A$2:$A$8,2,1)</f>
        <v>75.00777364816193</v>
      </c>
      <c r="D9" s="5">
        <f>C9-_xlfn.FORECAST.ETS.CONFINT(A9,$B$2:$B$8,$A$2:$A$8,0.9999,2,1)</f>
        <v>67.359203698043217</v>
      </c>
      <c r="E9" s="5">
        <f>C9+_xlfn.FORECAST.ETS.CONFINT(A9,$B$2:$B$8,$A$2:$A$8,0.9999,2,1)</f>
        <v>82.656343598280642</v>
      </c>
    </row>
    <row r="10" spans="1:5" x14ac:dyDescent="0.35">
      <c r="A10" s="2">
        <v>46182</v>
      </c>
      <c r="C10">
        <f>_xlfn.FORECAST.ETS(A10,$B$2:$B$8,$A$2:$A$8,2,1)</f>
        <v>75.781859215966094</v>
      </c>
      <c r="D10" s="5">
        <f>C10-_xlfn.FORECAST.ETS.CONFINT(A10,$B$2:$B$8,$A$2:$A$8,0.9999,2,1)</f>
        <v>65.486642562058606</v>
      </c>
      <c r="E10" s="5">
        <f>C10+_xlfn.FORECAST.ETS.CONFINT(A10,$B$2:$B$8,$A$2:$A$8,0.9999,2,1)</f>
        <v>86.077075869873582</v>
      </c>
    </row>
    <row r="11" spans="1:5" x14ac:dyDescent="0.35">
      <c r="A11" s="2">
        <v>46183</v>
      </c>
      <c r="C11">
        <f>_xlfn.FORECAST.ETS(A11,$B$2:$B$8,$A$2:$A$8,2,1)</f>
        <v>82.792105793971018</v>
      </c>
      <c r="D11" s="5">
        <f>C11-_xlfn.FORECAST.ETS.CONFINT(A11,$B$2:$B$8,$A$2:$A$8,0.9999,2,1)</f>
        <v>69.962095350563771</v>
      </c>
      <c r="E11" s="5">
        <f>C11+_xlfn.FORECAST.ETS.CONFINT(A11,$B$2:$B$8,$A$2:$A$8,0.9999,2,1)</f>
        <v>95.622116237378265</v>
      </c>
    </row>
    <row r="12" spans="1:5" x14ac:dyDescent="0.35">
      <c r="A12" s="2">
        <v>46184</v>
      </c>
      <c r="C12">
        <f>_xlfn.FORECAST.ETS(A12,$B$2:$B$8,$A$2:$A$8,2,1)</f>
        <v>83.566191361775182</v>
      </c>
      <c r="D12" s="5">
        <f>C12-_xlfn.FORECAST.ETS.CONFINT(A12,$B$2:$B$8,$A$2:$A$8,0.9999,2,1)</f>
        <v>68.995292216829895</v>
      </c>
      <c r="E12" s="5">
        <f>C12+_xlfn.FORECAST.ETS.CONFINT(A12,$B$2:$B$8,$A$2:$A$8,0.9999,2,1)</f>
        <v>98.137090506720469</v>
      </c>
    </row>
    <row r="13" spans="1:5" x14ac:dyDescent="0.35">
      <c r="A13" s="2">
        <v>46185</v>
      </c>
      <c r="C13">
        <f>_xlfn.FORECAST.ETS(A13,$B$2:$B$8,$A$2:$A$8,2,1)</f>
        <v>90.576437939780106</v>
      </c>
      <c r="D13" s="5">
        <f>C13-_xlfn.FORECAST.ETS.CONFINT(A13,$B$2:$B$8,$A$2:$A$8,0.9999,2,1)</f>
        <v>74.109402553490384</v>
      </c>
      <c r="E13" s="5">
        <f>C13+_xlfn.FORECAST.ETS.CONFINT(A13,$B$2:$B$8,$A$2:$A$8,0.9999,2,1)</f>
        <v>107.04347332606983</v>
      </c>
    </row>
    <row r="14" spans="1:5" x14ac:dyDescent="0.35">
      <c r="A14" s="2">
        <v>46186</v>
      </c>
      <c r="C14">
        <f>_xlfn.FORECAST.ETS(A14,$B$2:$B$8,$A$2:$A$8,2,1)</f>
        <v>91.350523507584271</v>
      </c>
      <c r="D14" s="5">
        <f>C14-_xlfn.FORECAST.ETS.CONFINT(A14,$B$2:$B$8,$A$2:$A$8,0.9999,2,1)</f>
        <v>73.487804605420536</v>
      </c>
      <c r="E14" s="5">
        <f>C14+_xlfn.FORECAST.ETS.CONFINT(A14,$B$2:$B$8,$A$2:$A$8,0.9999,2,1)</f>
        <v>109.21324240974801</v>
      </c>
    </row>
    <row r="15" spans="1:5" x14ac:dyDescent="0.35">
      <c r="A15" s="2">
        <v>46187</v>
      </c>
      <c r="C15">
        <f>_xlfn.FORECAST.ETS(A15,$B$2:$B$8,$A$2:$A$8,2,1)</f>
        <v>98.360770085589195</v>
      </c>
      <c r="D15" s="5">
        <f>C15-_xlfn.FORECAST.ETS.CONFINT(A15,$B$2:$B$8,$A$2:$A$8,0.9999,2,1)</f>
        <v>78.914335512692503</v>
      </c>
      <c r="E15" s="5">
        <f>C15+_xlfn.FORECAST.ETS.CONFINT(A15,$B$2:$B$8,$A$2:$A$8,0.9999,2,1)</f>
        <v>117.80720465848589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23D0-69CC-4062-A230-9A5DC5717044}">
  <dimension ref="A1:D8"/>
  <sheetViews>
    <sheetView topLeftCell="A4" workbookViewId="0">
      <selection activeCell="A2" sqref="A1:D8"/>
    </sheetView>
  </sheetViews>
  <sheetFormatPr defaultRowHeight="14.5" x14ac:dyDescent="0.35"/>
  <cols>
    <col min="3" max="3" width="13.26953125" customWidth="1"/>
    <col min="4" max="4" width="11.3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46174</v>
      </c>
      <c r="B2" s="4">
        <v>1200</v>
      </c>
      <c r="C2" s="4">
        <v>200</v>
      </c>
      <c r="D2" s="4">
        <v>45</v>
      </c>
    </row>
    <row r="3" spans="1:4" x14ac:dyDescent="0.35">
      <c r="A3" s="3">
        <v>46175</v>
      </c>
      <c r="B3" s="4">
        <v>1350</v>
      </c>
      <c r="C3" s="4">
        <v>220</v>
      </c>
      <c r="D3" s="4">
        <v>50</v>
      </c>
    </row>
    <row r="4" spans="1:4" x14ac:dyDescent="0.35">
      <c r="A4" s="3">
        <v>46176</v>
      </c>
      <c r="B4" s="4">
        <v>1280</v>
      </c>
      <c r="C4" s="4">
        <v>210</v>
      </c>
      <c r="D4" s="4">
        <v>48</v>
      </c>
    </row>
    <row r="5" spans="1:4" x14ac:dyDescent="0.35">
      <c r="A5" s="3">
        <v>46177</v>
      </c>
      <c r="B5" s="4">
        <v>1450</v>
      </c>
      <c r="C5" s="4">
        <v>250</v>
      </c>
      <c r="D5" s="4">
        <v>55</v>
      </c>
    </row>
    <row r="6" spans="1:4" x14ac:dyDescent="0.35">
      <c r="A6" s="3">
        <v>46178</v>
      </c>
      <c r="B6" s="4">
        <v>1500</v>
      </c>
      <c r="C6" s="4">
        <v>260</v>
      </c>
      <c r="D6" s="4">
        <v>58</v>
      </c>
    </row>
    <row r="7" spans="1:4" x14ac:dyDescent="0.35">
      <c r="A7" s="3">
        <v>46179</v>
      </c>
      <c r="B7" s="4">
        <v>1650</v>
      </c>
      <c r="C7" s="4">
        <v>300</v>
      </c>
      <c r="D7" s="4">
        <v>65</v>
      </c>
    </row>
    <row r="8" spans="1:4" x14ac:dyDescent="0.35">
      <c r="A8" s="3">
        <v>46180</v>
      </c>
      <c r="B8" s="4">
        <v>1700</v>
      </c>
      <c r="C8" s="4">
        <v>320</v>
      </c>
      <c r="D8" s="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Singh</dc:creator>
  <cp:lastModifiedBy>Shilpa Singh</cp:lastModifiedBy>
  <dcterms:created xsi:type="dcterms:W3CDTF">2026-06-20T06:19:34Z</dcterms:created>
  <dcterms:modified xsi:type="dcterms:W3CDTF">2026-06-20T06:57:45Z</dcterms:modified>
</cp:coreProperties>
</file>